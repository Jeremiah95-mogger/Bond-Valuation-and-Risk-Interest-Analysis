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53fa7fa8f4f641/Documents/"/>
    </mc:Choice>
  </mc:AlternateContent>
  <xr:revisionPtr revIDLastSave="2" documentId="8_{76F43C29-16DD-4F3B-AD16-641EDF7F27F5}" xr6:coauthVersionLast="47" xr6:coauthVersionMax="47" xr10:uidLastSave="{BF462100-FEDE-4033-9222-8B5D0E871B97}"/>
  <bookViews>
    <workbookView xWindow="-108" yWindow="-108" windowWidth="23256" windowHeight="12456" xr2:uid="{CCECCD09-9C0A-490D-9AC2-238DE3A1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5" i="1" l="1"/>
  <c r="E146" i="1"/>
  <c r="E147" i="1"/>
  <c r="E148" i="1"/>
  <c r="I18" i="1"/>
  <c r="E144" i="1"/>
  <c r="E137" i="1"/>
  <c r="E138" i="1"/>
  <c r="E139" i="1"/>
  <c r="E140" i="1"/>
  <c r="E136" i="1"/>
  <c r="E129" i="1"/>
  <c r="E130" i="1"/>
  <c r="E131" i="1"/>
  <c r="E132" i="1"/>
  <c r="E128" i="1"/>
  <c r="H75" i="1"/>
  <c r="H85" i="1"/>
  <c r="H84" i="1"/>
  <c r="H83" i="1"/>
  <c r="H82" i="1"/>
  <c r="H81" i="1"/>
  <c r="H76" i="1"/>
  <c r="H74" i="1"/>
  <c r="H73" i="1"/>
  <c r="H72" i="1"/>
  <c r="H67" i="1"/>
  <c r="H66" i="1"/>
  <c r="H65" i="1"/>
  <c r="H64" i="1"/>
  <c r="H63" i="1"/>
  <c r="H52" i="1"/>
  <c r="H53" i="1"/>
  <c r="H54" i="1"/>
  <c r="H55" i="1"/>
  <c r="H56" i="1"/>
  <c r="H51" i="1"/>
  <c r="H42" i="1"/>
  <c r="H43" i="1"/>
  <c r="H44" i="1"/>
  <c r="H45" i="1"/>
  <c r="H46" i="1"/>
  <c r="H41" i="1"/>
  <c r="H31" i="1"/>
  <c r="H32" i="1"/>
  <c r="H33" i="1"/>
  <c r="H34" i="1"/>
  <c r="H35" i="1"/>
  <c r="H36" i="1"/>
  <c r="G17" i="1"/>
  <c r="I17" i="1"/>
  <c r="I11" i="1"/>
  <c r="G11" i="1"/>
  <c r="E11" i="1"/>
  <c r="E17" i="1"/>
  <c r="E4" i="1"/>
  <c r="D4" i="1"/>
  <c r="C4" i="1"/>
  <c r="G18" i="1" l="1"/>
  <c r="E18" i="1"/>
</calcChain>
</file>

<file path=xl/sharedStrings.xml><?xml version="1.0" encoding="utf-8"?>
<sst xmlns="http://schemas.openxmlformats.org/spreadsheetml/2006/main" count="101" uniqueCount="33">
  <si>
    <t>Face Value</t>
  </si>
  <si>
    <t>Coupon rate</t>
  </si>
  <si>
    <t>Years to Maturity</t>
  </si>
  <si>
    <t>Frequency</t>
  </si>
  <si>
    <t>Maturity Date</t>
  </si>
  <si>
    <t>Current Date</t>
  </si>
  <si>
    <t>semi</t>
  </si>
  <si>
    <t>Market yield (KIBOR RATE)</t>
  </si>
  <si>
    <t>Bid</t>
  </si>
  <si>
    <t>Offer</t>
  </si>
  <si>
    <t>Intrinsic Value</t>
  </si>
  <si>
    <t>Coupon PMT</t>
  </si>
  <si>
    <t>P03FRR100527</t>
  </si>
  <si>
    <t>BAFLTFC6</t>
  </si>
  <si>
    <t>KELSC6</t>
  </si>
  <si>
    <t>quartely</t>
  </si>
  <si>
    <t>Market Rate of Return</t>
  </si>
  <si>
    <t>PV</t>
  </si>
  <si>
    <t>Quarterly</t>
  </si>
  <si>
    <t>Interest Rate Impact Analysis</t>
  </si>
  <si>
    <t xml:space="preserve">Compounding Frequency </t>
  </si>
  <si>
    <t>K-Electric LtdSC6</t>
  </si>
  <si>
    <t>3 Year Fixed Rental Rate - Mat.10-May-27</t>
  </si>
  <si>
    <t>Bank Al-Falah (TFC6</t>
  </si>
  <si>
    <t>Bond Valuation</t>
  </si>
  <si>
    <t>Base</t>
  </si>
  <si>
    <t>Coupon Rate</t>
  </si>
  <si>
    <t>Maturity Comparison</t>
  </si>
  <si>
    <t>Price</t>
  </si>
  <si>
    <t xml:space="preserve">KELSC6 </t>
  </si>
  <si>
    <t>Market Rate</t>
  </si>
  <si>
    <t>Base Price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</si>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</sst>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3333"/>
      <name val="Roboto Condensed"/>
    </font>
    <font>
      <b/>
      <sz val="11"/>
      <color theme="1"/>
      <name val="Calibri"/>
      <family val="2"/>
      <scheme val="minor"/>
    </font>
    <font>
      <b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2" fillId="0" borderId="0" xfId="0" applyNumberFormat="1" applyFon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2" fontId="3" fillId="0" borderId="0" xfId="0" applyNumberFormat="1" applyFont="1"/>
    <xf numFmtId="0" fontId="0" fillId="0" borderId="1" xfId="0" applyBorder="1"/>
    <xf numFmtId="0" fontId="3" fillId="0" borderId="1" xfId="0" applyFont="1" applyBorder="1"/>
    <xf numFmtId="10" fontId="0" fillId="0" borderId="1" xfId="0" applyNumberFormat="1" applyBorder="1"/>
    <xf numFmtId="0" fontId="0" fillId="0" borderId="1" xfId="0" applyBorder="1" applyAlignment="1"/>
    <xf numFmtId="2" fontId="0" fillId="0" borderId="1" xfId="0" applyNumberFormat="1" applyBorder="1"/>
    <xf numFmtId="164" fontId="3" fillId="0" borderId="1" xfId="0" applyNumberFormat="1" applyFont="1" applyBorder="1"/>
    <xf numFmtId="8" fontId="0" fillId="0" borderId="1" xfId="0" applyNumberFormat="1" applyBorder="1"/>
    <xf numFmtId="0" fontId="3" fillId="0" borderId="2" xfId="0" applyFont="1" applyBorder="1"/>
    <xf numFmtId="0" fontId="0" fillId="0" borderId="2" xfId="0" applyBorder="1"/>
    <xf numFmtId="2" fontId="0" fillId="0" borderId="2" xfId="0" applyNumberFormat="1" applyBorder="1"/>
    <xf numFmtId="8" fontId="3" fillId="0" borderId="2" xfId="0" applyNumberFormat="1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7" xfId="0" applyBorder="1"/>
    <xf numFmtId="10" fontId="0" fillId="0" borderId="7" xfId="0" applyNumberFormat="1" applyBorder="1"/>
    <xf numFmtId="2" fontId="0" fillId="0" borderId="7" xfId="0" applyNumberFormat="1" applyBorder="1"/>
    <xf numFmtId="0" fontId="3" fillId="0" borderId="6" xfId="0" applyFont="1" applyBorder="1"/>
    <xf numFmtId="10" fontId="0" fillId="0" borderId="7" xfId="1" applyNumberFormat="1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9" xfId="0" applyBorder="1"/>
    <xf numFmtId="8" fontId="3" fillId="0" borderId="10" xfId="0" applyNumberFormat="1" applyFont="1" applyBorder="1"/>
    <xf numFmtId="0" fontId="3" fillId="0" borderId="1" xfId="0" applyFont="1" applyBorder="1" applyAlignment="1"/>
    <xf numFmtId="0" fontId="0" fillId="0" borderId="12" xfId="0" applyBorder="1"/>
    <xf numFmtId="0" fontId="0" fillId="0" borderId="12" xfId="0" applyBorder="1" applyAlignment="1"/>
    <xf numFmtId="10" fontId="0" fillId="0" borderId="12" xfId="0" applyNumberFormat="1" applyBorder="1"/>
    <xf numFmtId="0" fontId="0" fillId="0" borderId="5" xfId="0" applyBorder="1"/>
    <xf numFmtId="0" fontId="3" fillId="0" borderId="9" xfId="0" applyFont="1" applyBorder="1" applyAlignment="1"/>
    <xf numFmtId="0" fontId="3" fillId="0" borderId="10" xfId="0" applyFont="1" applyBorder="1" applyAlignment="1"/>
    <xf numFmtId="0" fontId="0" fillId="0" borderId="13" xfId="0" applyBorder="1"/>
    <xf numFmtId="8" fontId="0" fillId="0" borderId="14" xfId="0" applyNumberFormat="1" applyBorder="1"/>
    <xf numFmtId="0" fontId="0" fillId="0" borderId="6" xfId="0" applyBorder="1"/>
    <xf numFmtId="8" fontId="0" fillId="0" borderId="7" xfId="0" applyNumberFormat="1" applyBorder="1"/>
    <xf numFmtId="0" fontId="0" fillId="0" borderId="8" xfId="0" applyBorder="1"/>
    <xf numFmtId="0" fontId="0" fillId="0" borderId="9" xfId="0" applyBorder="1" applyAlignment="1"/>
    <xf numFmtId="10" fontId="0" fillId="0" borderId="9" xfId="0" applyNumberFormat="1" applyBorder="1"/>
    <xf numFmtId="8" fontId="0" fillId="0" borderId="10" xfId="0" applyNumberFormat="1" applyBorder="1"/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0" fontId="0" fillId="0" borderId="18" xfId="0" applyNumberFormat="1" applyBorder="1"/>
    <xf numFmtId="8" fontId="0" fillId="0" borderId="0" xfId="0" applyNumberFormat="1" applyBorder="1"/>
    <xf numFmtId="10" fontId="0" fillId="0" borderId="19" xfId="1" applyNumberFormat="1" applyFont="1" applyBorder="1"/>
    <xf numFmtId="10" fontId="0" fillId="0" borderId="20" xfId="0" applyNumberFormat="1" applyBorder="1"/>
    <xf numFmtId="8" fontId="0" fillId="0" borderId="21" xfId="0" applyNumberFormat="1" applyBorder="1"/>
    <xf numFmtId="10" fontId="0" fillId="0" borderId="22" xfId="1" applyNumberFormat="1" applyFont="1" applyBorder="1"/>
    <xf numFmtId="2" fontId="0" fillId="0" borderId="0" xfId="0" applyNumberFormat="1" applyBorder="1"/>
    <xf numFmtId="164" fontId="0" fillId="0" borderId="0" xfId="0" applyNumberFormat="1" applyBorder="1"/>
    <xf numFmtId="2" fontId="0" fillId="0" borderId="21" xfId="0" applyNumberFormat="1" applyBorder="1"/>
    <xf numFmtId="164" fontId="0" fillId="0" borderId="21" xfId="0" applyNumberFormat="1" applyBorder="1"/>
    <xf numFmtId="0" fontId="3" fillId="0" borderId="15" xfId="0" applyFont="1" applyBorder="1" applyAlignment="1"/>
    <xf numFmtId="0" fontId="3" fillId="0" borderId="16" xfId="0" applyFont="1" applyBorder="1"/>
    <xf numFmtId="0" fontId="3" fillId="0" borderId="17" xfId="0" applyFont="1" applyBorder="1"/>
    <xf numFmtId="0" fontId="3" fillId="0" borderId="3" xfId="0" applyFont="1" applyBorder="1"/>
    <xf numFmtId="0" fontId="3" fillId="0" borderId="4" xfId="0" applyFont="1" applyBorder="1"/>
    <xf numFmtId="10" fontId="0" fillId="0" borderId="6" xfId="0" applyNumberFormat="1" applyBorder="1"/>
    <xf numFmtId="10" fontId="0" fillId="0" borderId="8" xfId="0" applyNumberFormat="1" applyBorder="1"/>
    <xf numFmtId="8" fontId="0" fillId="0" borderId="9" xfId="0" applyNumberFormat="1" applyBorder="1"/>
    <xf numFmtId="10" fontId="0" fillId="0" borderId="10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</a:t>
            </a:r>
            <a:r>
              <a:rPr lang="en-US" baseline="0"/>
              <a:t> Securities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P03FRR100527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Sheet1!$B$31:$B$36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Sheet1!$H$31:$H$36</c:f>
              <c:numCache>
                <c:formatCode>"$"#,##0.00_);[Red]\("$"#,##0.00\)</c:formatCode>
                <c:ptCount val="6"/>
                <c:pt idx="0">
                  <c:v>5863.7328764067288</c:v>
                </c:pt>
                <c:pt idx="1">
                  <c:v>5726.5674501810026</c:v>
                </c:pt>
                <c:pt idx="2">
                  <c:v>5573.551401278698</c:v>
                </c:pt>
                <c:pt idx="3">
                  <c:v>5402.8530564702778</c:v>
                </c:pt>
                <c:pt idx="4">
                  <c:v>5212.4290772252143</c:v>
                </c:pt>
                <c:pt idx="5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79D-4F13-B625-761E3185B00F}"/>
            </c:ext>
          </c:extLst>
        </c:ser>
        <c:ser>
          <c:idx val="1"/>
          <c:order val="1"/>
          <c:tx>
            <c:v>BAHLTFC6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Sheet1!$B$41:$B$46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Sheet1!$H$41:$H$46</c:f>
              <c:numCache>
                <c:formatCode>"$"#,##0.00_);[Red]\("$"#,##0.00\)</c:formatCode>
                <c:ptCount val="6"/>
                <c:pt idx="0">
                  <c:v>4968.1486791780608</c:v>
                </c:pt>
                <c:pt idx="1">
                  <c:v>4973.2068402319364</c:v>
                </c:pt>
                <c:pt idx="2">
                  <c:v>4978.8495144864683</c:v>
                </c:pt>
                <c:pt idx="3">
                  <c:v>4985.1442473752822</c:v>
                </c:pt>
                <c:pt idx="4">
                  <c:v>4992.166389776944</c:v>
                </c:pt>
                <c:pt idx="5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79D-4F13-B625-761E3185B00F}"/>
            </c:ext>
          </c:extLst>
        </c:ser>
        <c:ser>
          <c:idx val="2"/>
          <c:order val="2"/>
          <c:tx>
            <c:v>KELCS6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Sheet1!$B$51:$B$56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Sheet1!$H$51:$H$56</c:f>
              <c:numCache>
                <c:formatCode>"$"#,##0.00</c:formatCode>
                <c:ptCount val="6"/>
                <c:pt idx="0">
                  <c:v>73069.367243863104</c:v>
                </c:pt>
                <c:pt idx="1">
                  <c:v>73374.946919011563</c:v>
                </c:pt>
                <c:pt idx="2">
                  <c:v>73716.348793631943</c:v>
                </c:pt>
                <c:pt idx="3">
                  <c:v>74097.772197978731</c:v>
                </c:pt>
                <c:pt idx="4">
                  <c:v>74523.908737343852</c:v>
                </c:pt>
                <c:pt idx="5">
                  <c:v>75000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79D-4F13-B625-761E3185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933136"/>
        <c:axId val="893658544"/>
      </c:scatterChart>
      <c:valAx>
        <c:axId val="190293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658544"/>
        <c:crosses val="autoZero"/>
        <c:crossBetween val="midCat"/>
      </c:valAx>
      <c:valAx>
        <c:axId val="8936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3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Bank Al-Falah(TFC6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Sheet1!$B$41:$B$46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Sheet1!$H$41:$H$46</c:f>
              <c:numCache>
                <c:formatCode>"$"#,##0.00_);[Red]\("$"#,##0.00\)</c:formatCode>
                <c:ptCount val="6"/>
                <c:pt idx="0">
                  <c:v>4968.1486791780608</c:v>
                </c:pt>
                <c:pt idx="1">
                  <c:v>4973.2068402319364</c:v>
                </c:pt>
                <c:pt idx="2">
                  <c:v>4978.8495144864683</c:v>
                </c:pt>
                <c:pt idx="3">
                  <c:v>4985.1442473752822</c:v>
                </c:pt>
                <c:pt idx="4">
                  <c:v>4992.166389776944</c:v>
                </c:pt>
                <c:pt idx="5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2-4923-B436-F6666B298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456416"/>
        <c:axId val="1913460992"/>
      </c:scatterChart>
      <c:valAx>
        <c:axId val="19134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460992"/>
        <c:crosses val="autoZero"/>
        <c:crossBetween val="midCat"/>
      </c:valAx>
      <c:valAx>
        <c:axId val="19134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45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K-Electric LtdSC6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Sheet1!$B$51:$B$56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Sheet1!$H$51:$H$56</c:f>
              <c:numCache>
                <c:formatCode>"$"#,##0.00</c:formatCode>
                <c:ptCount val="6"/>
                <c:pt idx="0">
                  <c:v>73069.367243863104</c:v>
                </c:pt>
                <c:pt idx="1">
                  <c:v>73374.946919011563</c:v>
                </c:pt>
                <c:pt idx="2">
                  <c:v>73716.348793631943</c:v>
                </c:pt>
                <c:pt idx="3">
                  <c:v>74097.772197978731</c:v>
                </c:pt>
                <c:pt idx="4">
                  <c:v>74523.908737343852</c:v>
                </c:pt>
                <c:pt idx="5">
                  <c:v>75000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8-4180-8F65-2B3A89E8C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54624"/>
        <c:axId val="1913255040"/>
      </c:scatterChart>
      <c:valAx>
        <c:axId val="191325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55040"/>
        <c:crosses val="autoZero"/>
        <c:crossBetween val="midCat"/>
      </c:valAx>
      <c:valAx>
        <c:axId val="19132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5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3 Year Fixed Rental Rate - Mat.10-May-27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Sheet1!$B$31:$B$36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Sheet1!$H$31:$H$36</c:f>
              <c:numCache>
                <c:formatCode>"$"#,##0.00_);[Red]\("$"#,##0.00\)</c:formatCode>
                <c:ptCount val="6"/>
                <c:pt idx="0">
                  <c:v>5863.7328764067288</c:v>
                </c:pt>
                <c:pt idx="1">
                  <c:v>5726.5674501810026</c:v>
                </c:pt>
                <c:pt idx="2">
                  <c:v>5573.551401278698</c:v>
                </c:pt>
                <c:pt idx="3">
                  <c:v>5402.8530564702778</c:v>
                </c:pt>
                <c:pt idx="4">
                  <c:v>5212.4290772252143</c:v>
                </c:pt>
                <c:pt idx="5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0-4781-8C1F-4559E2C9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235280"/>
        <c:axId val="1994235696"/>
      </c:scatterChart>
      <c:valAx>
        <c:axId val="199423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35696"/>
        <c:crosses val="autoZero"/>
        <c:crossBetween val="midCat"/>
      </c:valAx>
      <c:valAx>
        <c:axId val="19942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3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Year Fixed Rental Rate - Mat.10-May-27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Sheet1!$F$63:$F$67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Sheet1!$H$63:$H$67</c:f>
              <c:numCache>
                <c:formatCode>"$"#,##0.00_);[Red]\("$"#,##0.00\)</c:formatCode>
                <c:ptCount val="5"/>
                <c:pt idx="0">
                  <c:v>5361.6341234592437</c:v>
                </c:pt>
                <c:pt idx="1">
                  <c:v>5304.5016276126153</c:v>
                </c:pt>
                <c:pt idx="2">
                  <c:v>5248.259887626511</c:v>
                </c:pt>
                <c:pt idx="3">
                  <c:v>5192.8908176779023</c:v>
                </c:pt>
                <c:pt idx="4">
                  <c:v>5138.3767827823158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385-4299-B42D-6C5BB15A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887632"/>
        <c:axId val="2055888880"/>
      </c:lineChart>
      <c:catAx>
        <c:axId val="20558876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88880"/>
        <c:crosses val="autoZero"/>
        <c:auto val="1"/>
        <c:lblAlgn val="ctr"/>
        <c:lblOffset val="100"/>
        <c:noMultiLvlLbl val="0"/>
      </c:catAx>
      <c:valAx>
        <c:axId val="20558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8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Al-Falah (TFC6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Sheet1!$F$72:$F$76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Sheet1!$H$72:$H$76</c:f>
              <c:numCache>
                <c:formatCode>"$"#,##0.00_);[Red]\("$"#,##0.00\)</c:formatCode>
                <c:ptCount val="5"/>
                <c:pt idx="0">
                  <c:v>5778.3735125452095</c:v>
                </c:pt>
                <c:pt idx="1">
                  <c:v>5331.5831560205643</c:v>
                </c:pt>
                <c:pt idx="2">
                  <c:v>4936.0711034336464</c:v>
                </c:pt>
                <c:pt idx="3">
                  <c:v>4584.9596902852263</c:v>
                </c:pt>
                <c:pt idx="4">
                  <c:v>4272.3741955819305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F-4FD5-B0EF-C9F3ED23A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816912"/>
        <c:axId val="2058826064"/>
      </c:lineChart>
      <c:catAx>
        <c:axId val="205881691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26064"/>
        <c:crosses val="autoZero"/>
        <c:auto val="1"/>
        <c:lblAlgn val="ctr"/>
        <c:lblOffset val="100"/>
        <c:noMultiLvlLbl val="0"/>
      </c:catAx>
      <c:valAx>
        <c:axId val="20588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1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K-Electric LtdSC6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Sheet1!$F$81:$F$85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Sheet1!$H$81:$H$85</c:f>
              <c:numCache>
                <c:formatCode>"$"#,##0.00</c:formatCode>
                <c:ptCount val="5"/>
                <c:pt idx="0">
                  <c:v>78086.787343525008</c:v>
                </c:pt>
                <c:pt idx="1">
                  <c:v>75734.741034909544</c:v>
                </c:pt>
                <c:pt idx="2">
                  <c:v>73466.756523812772</c:v>
                </c:pt>
                <c:pt idx="3">
                  <c:v>71279.551950524532</c:v>
                </c:pt>
                <c:pt idx="4">
                  <c:v>69169.982512578674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4C-426E-A168-91E99519F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818576"/>
        <c:axId val="2058822320"/>
      </c:lineChart>
      <c:catAx>
        <c:axId val="205881857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22320"/>
        <c:crosses val="autoZero"/>
        <c:auto val="1"/>
        <c:lblAlgn val="ctr"/>
        <c:lblOffset val="100"/>
        <c:noMultiLvlLbl val="0"/>
      </c:catAx>
      <c:valAx>
        <c:axId val="20588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1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Securities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3 Year Fixed Rental Rate - Mat.10-May-27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Sheet1!$F$81:$F$85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Sheet1!$H$63:$H$67</c:f>
              <c:numCache>
                <c:formatCode>"$"#,##0.00_);[Red]\("$"#,##0.00\)</c:formatCode>
                <c:ptCount val="5"/>
                <c:pt idx="0">
                  <c:v>5361.6341234592437</c:v>
                </c:pt>
                <c:pt idx="1">
                  <c:v>5304.5016276126153</c:v>
                </c:pt>
                <c:pt idx="2">
                  <c:v>5248.259887626511</c:v>
                </c:pt>
                <c:pt idx="3">
                  <c:v>5192.8908176779023</c:v>
                </c:pt>
                <c:pt idx="4">
                  <c:v>5138.3767827823158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E-4317-B3F7-EB88A87E29A2}"/>
            </c:ext>
          </c:extLst>
        </c:ser>
        <c:ser>
          <c:idx val="1"/>
          <c:order val="1"/>
          <c:tx>
            <c:v>Bank Al-Falah (TFC6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Sheet1!$F$81:$F$85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Sheet1!$H$72:$H$76</c:f>
              <c:numCache>
                <c:formatCode>"$"#,##0.00_);[Red]\("$"#,##0.00\)</c:formatCode>
                <c:ptCount val="5"/>
                <c:pt idx="0">
                  <c:v>5778.3735125452095</c:v>
                </c:pt>
                <c:pt idx="1">
                  <c:v>5331.5831560205643</c:v>
                </c:pt>
                <c:pt idx="2">
                  <c:v>4936.0711034336464</c:v>
                </c:pt>
                <c:pt idx="3">
                  <c:v>4584.9596902852263</c:v>
                </c:pt>
                <c:pt idx="4">
                  <c:v>4272.3741955819305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E-4317-B3F7-EB88A87E29A2}"/>
            </c:ext>
          </c:extLst>
        </c:ser>
        <c:ser>
          <c:idx val="2"/>
          <c:order val="2"/>
          <c:tx>
            <c:v>K-Electric LtdSC6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Sheet1!$F$81:$F$85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Sheet1!$H$81:$H$85</c:f>
              <c:numCache>
                <c:formatCode>"$"#,##0.00</c:formatCode>
                <c:ptCount val="5"/>
                <c:pt idx="0">
                  <c:v>78086.787343525008</c:v>
                </c:pt>
                <c:pt idx="1">
                  <c:v>75734.741034909544</c:v>
                </c:pt>
                <c:pt idx="2">
                  <c:v>73466.756523812772</c:v>
                </c:pt>
                <c:pt idx="3">
                  <c:v>71279.551950524532</c:v>
                </c:pt>
                <c:pt idx="4">
                  <c:v>69169.982512578674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CE-4317-B3F7-EB88A87E2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734208"/>
        <c:axId val="1338863824"/>
      </c:lineChart>
      <c:catAx>
        <c:axId val="19947342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63824"/>
        <c:crosses val="autoZero"/>
        <c:auto val="1"/>
        <c:lblAlgn val="ctr"/>
        <c:lblOffset val="100"/>
        <c:noMultiLvlLbl val="0"/>
      </c:catAx>
      <c:valAx>
        <c:axId val="13388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Year Fixed Rental Rate - Mat.10-May-27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Sheet1!$C$98:$C$102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xVal>
          <c:yVal>
            <c:numRef>
              <c:f>Sheet1!$D$98:$D$102</c:f>
              <c:numCache>
                <c:formatCode>"$"#,##0.00_);[Red]\("$"#,##0.00\)</c:formatCode>
                <c:ptCount val="5"/>
                <c:pt idx="0">
                  <c:v>5361.6341234592437</c:v>
                </c:pt>
                <c:pt idx="1">
                  <c:v>5304.5016276126153</c:v>
                </c:pt>
                <c:pt idx="2">
                  <c:v>5248.259887626511</c:v>
                </c:pt>
                <c:pt idx="3">
                  <c:v>5192.8908176779023</c:v>
                </c:pt>
                <c:pt idx="4">
                  <c:v>5138.3767827823158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EC-4703-9A02-4D6FEFD6A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118672"/>
        <c:axId val="275119088"/>
      </c:scatterChart>
      <c:valAx>
        <c:axId val="27511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19088"/>
        <c:crosses val="autoZero"/>
        <c:crossBetween val="midCat"/>
      </c:valAx>
      <c:valAx>
        <c:axId val="27511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18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Al-Falah (TFC6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Sheet1!$C$106:$C$110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xVal>
          <c:yVal>
            <c:numRef>
              <c:f>Sheet1!$D$106:$D$110</c:f>
              <c:numCache>
                <c:formatCode>"$"#,##0.00_);[Red]\("$"#,##0.00\)</c:formatCode>
                <c:ptCount val="5"/>
                <c:pt idx="0">
                  <c:v>5778.3735125452095</c:v>
                </c:pt>
                <c:pt idx="1">
                  <c:v>5331.5831560205643</c:v>
                </c:pt>
                <c:pt idx="2">
                  <c:v>4936.0711034336464</c:v>
                </c:pt>
                <c:pt idx="3">
                  <c:v>4584.9596902852263</c:v>
                </c:pt>
                <c:pt idx="4">
                  <c:v>4272.3741955819305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BF-48E6-AD01-1A3D3513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582304"/>
        <c:axId val="2063574400"/>
      </c:scatterChart>
      <c:valAx>
        <c:axId val="20635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74400"/>
        <c:crosses val="autoZero"/>
        <c:crossBetween val="midCat"/>
      </c:valAx>
      <c:valAx>
        <c:axId val="20635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8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K-Electric LtdSC6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Sheet1!$C$114:$C$118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xVal>
          <c:yVal>
            <c:numRef>
              <c:f>Sheet1!$D$114:$D$118</c:f>
              <c:numCache>
                <c:formatCode>"$"#,##0.00</c:formatCode>
                <c:ptCount val="5"/>
                <c:pt idx="0">
                  <c:v>78086.787343525008</c:v>
                </c:pt>
                <c:pt idx="1">
                  <c:v>75734.741034909544</c:v>
                </c:pt>
                <c:pt idx="2">
                  <c:v>73466.756523812772</c:v>
                </c:pt>
                <c:pt idx="3">
                  <c:v>71279.551950524532</c:v>
                </c:pt>
                <c:pt idx="4">
                  <c:v>69169.982512578674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E-4583-AA2C-C3FDE8CA0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870688"/>
        <c:axId val="2104871104"/>
      </c:scatterChart>
      <c:valAx>
        <c:axId val="210487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71104"/>
        <c:crosses val="autoZero"/>
        <c:crossBetween val="midCat"/>
      </c:valAx>
      <c:valAx>
        <c:axId val="21048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7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3 Year Fixed Rental Rate - Mat.10-May-27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Sheet1!$C$98:$C$102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Sheet1!$D$98:$D$102</c:f>
              <c:numCache>
                <c:formatCode>"$"#,##0.00_);[Red]\("$"#,##0.00\)</c:formatCode>
                <c:ptCount val="5"/>
                <c:pt idx="0">
                  <c:v>5361.6341234592437</c:v>
                </c:pt>
                <c:pt idx="1">
                  <c:v>5304.5016276126153</c:v>
                </c:pt>
                <c:pt idx="2">
                  <c:v>5248.259887626511</c:v>
                </c:pt>
                <c:pt idx="3">
                  <c:v>5192.8908176779023</c:v>
                </c:pt>
                <c:pt idx="4">
                  <c:v>5138.3767827823158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2B-4A18-AFD8-FC41A3D2B866}"/>
            </c:ext>
          </c:extLst>
        </c:ser>
        <c:ser>
          <c:idx val="1"/>
          <c:order val="1"/>
          <c:tx>
            <c:v>Bank Al-Falah (TFC6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Sheet1!$C$98:$C$102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Sheet1!$D$106:$D$110</c:f>
              <c:numCache>
                <c:formatCode>"$"#,##0.00_);[Red]\("$"#,##0.00\)</c:formatCode>
                <c:ptCount val="5"/>
                <c:pt idx="0">
                  <c:v>5778.3735125452095</c:v>
                </c:pt>
                <c:pt idx="1">
                  <c:v>5331.5831560205643</c:v>
                </c:pt>
                <c:pt idx="2">
                  <c:v>4936.0711034336464</c:v>
                </c:pt>
                <c:pt idx="3">
                  <c:v>4584.9596902852263</c:v>
                </c:pt>
                <c:pt idx="4">
                  <c:v>4272.3741955819305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2B-4A18-AFD8-FC41A3D2B866}"/>
            </c:ext>
          </c:extLst>
        </c:ser>
        <c:ser>
          <c:idx val="2"/>
          <c:order val="2"/>
          <c:tx>
            <c:v>K-Electric LtdSC6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Sheet1!$C$98:$C$102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Sheet1!$D$114:$D$118</c:f>
              <c:numCache>
                <c:formatCode>"$"#,##0.00</c:formatCode>
                <c:ptCount val="5"/>
                <c:pt idx="0">
                  <c:v>78086.787343525008</c:v>
                </c:pt>
                <c:pt idx="1">
                  <c:v>75734.741034909544</c:v>
                </c:pt>
                <c:pt idx="2">
                  <c:v>73466.756523812772</c:v>
                </c:pt>
                <c:pt idx="3">
                  <c:v>71279.551950524532</c:v>
                </c:pt>
                <c:pt idx="4">
                  <c:v>69169.982512578674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72B-4A18-AFD8-FC41A3D2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711711"/>
        <c:axId val="261724191"/>
      </c:lineChart>
      <c:catAx>
        <c:axId val="26171171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24191"/>
        <c:crosses val="autoZero"/>
        <c:auto val="1"/>
        <c:lblAlgn val="ctr"/>
        <c:lblOffset val="100"/>
        <c:noMultiLvlLbl val="0"/>
      </c:catAx>
      <c:valAx>
        <c:axId val="2617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1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3 Year Fixed Rental Rate - Mat.10-May-27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Sheet1!$B$128:$B$132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Sheet1!$E$128:$E$132</c:f>
              <c:numCache>
                <c:formatCode>0.00%</c:formatCode>
                <c:ptCount val="5"/>
                <c:pt idx="0">
                  <c:v>2.1602252605673722E-2</c:v>
                </c:pt>
                <c:pt idx="1">
                  <c:v>1.0716264283844213E-2</c:v>
                </c:pt>
                <c:pt idx="2">
                  <c:v>0</c:v>
                </c:pt>
                <c:pt idx="3">
                  <c:v>-1.054998630672785E-2</c:v>
                </c:pt>
                <c:pt idx="4">
                  <c:v>-2.0937054794725327E-2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6A-4DE6-9841-D21198B32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950191"/>
        <c:axId val="2090961839"/>
      </c:lineChart>
      <c:catAx>
        <c:axId val="209095019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961839"/>
        <c:crosses val="autoZero"/>
        <c:auto val="1"/>
        <c:lblAlgn val="ctr"/>
        <c:lblOffset val="100"/>
        <c:noMultiLvlLbl val="0"/>
      </c:catAx>
      <c:valAx>
        <c:axId val="20909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95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3 Year Fixed Rental Rate - Mat.10-May-27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Sheet1!$B$136:$B$140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Sheet1!$E$128:$E$132</c:f>
              <c:numCache>
                <c:formatCode>0.00%</c:formatCode>
                <c:ptCount val="5"/>
                <c:pt idx="0">
                  <c:v>2.1602252605673722E-2</c:v>
                </c:pt>
                <c:pt idx="1">
                  <c:v>1.0716264283844213E-2</c:v>
                </c:pt>
                <c:pt idx="2">
                  <c:v>0</c:v>
                </c:pt>
                <c:pt idx="3">
                  <c:v>-1.054998630672785E-2</c:v>
                </c:pt>
                <c:pt idx="4">
                  <c:v>-2.0937054794725327E-2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9-4915-BF7A-88A05CFF136A}"/>
            </c:ext>
          </c:extLst>
        </c:ser>
        <c:ser>
          <c:idx val="1"/>
          <c:order val="1"/>
          <c:tx>
            <c:v>Bank Al-Falah (TFC6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Sheet1!$B$136:$B$140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Sheet1!$E$136:$E$140</c:f>
              <c:numCache>
                <c:formatCode>0.00%</c:formatCode>
                <c:ptCount val="5"/>
                <c:pt idx="0">
                  <c:v>0.17064227630870996</c:v>
                </c:pt>
                <c:pt idx="1">
                  <c:v>8.0126895317976773E-2</c:v>
                </c:pt>
                <c:pt idx="2">
                  <c:v>0</c:v>
                </c:pt>
                <c:pt idx="3">
                  <c:v>-7.1131757584322233E-2</c:v>
                </c:pt>
                <c:pt idx="4">
                  <c:v>-0.134458538773891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9-4915-BF7A-88A05CFF136A}"/>
            </c:ext>
          </c:extLst>
        </c:ser>
        <c:ser>
          <c:idx val="2"/>
          <c:order val="2"/>
          <c:tx>
            <c:v>K-Electric LtdSC6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Sheet1!$B$136:$B$140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Sheet1!$E$144:$E$148</c:f>
              <c:numCache>
                <c:formatCode>0.00%</c:formatCode>
                <c:ptCount val="5"/>
                <c:pt idx="0">
                  <c:v>6.2886005022077321E-2</c:v>
                </c:pt>
                <c:pt idx="1">
                  <c:v>3.0870894788470091E-2</c:v>
                </c:pt>
                <c:pt idx="2">
                  <c:v>0</c:v>
                </c:pt>
                <c:pt idx="3">
                  <c:v>-2.9771350700357944E-2</c:v>
                </c:pt>
                <c:pt idx="4">
                  <c:v>-5.8485963101438748E-2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F9-4915-BF7A-88A05CFF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114239"/>
        <c:axId val="1583115071"/>
      </c:lineChart>
      <c:catAx>
        <c:axId val="158311423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15071"/>
        <c:crosses val="autoZero"/>
        <c:auto val="1"/>
        <c:lblAlgn val="ctr"/>
        <c:lblOffset val="100"/>
        <c:noMultiLvlLbl val="0"/>
      </c:catAx>
      <c:valAx>
        <c:axId val="15831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Bank Al-Falah (TFC6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Sheet1!$B$136:$B$140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Sheet1!$E$136:$E$140</c:f>
              <c:numCache>
                <c:formatCode>0.00%</c:formatCode>
                <c:ptCount val="5"/>
                <c:pt idx="0">
                  <c:v>0.17064227630870996</c:v>
                </c:pt>
                <c:pt idx="1">
                  <c:v>8.0126895317976773E-2</c:v>
                </c:pt>
                <c:pt idx="2">
                  <c:v>0</c:v>
                </c:pt>
                <c:pt idx="3">
                  <c:v>-7.1131757584322233E-2</c:v>
                </c:pt>
                <c:pt idx="4">
                  <c:v>-0.134458538773891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4-48DC-BC9D-DEB619E2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282047"/>
        <c:axId val="362279967"/>
      </c:lineChart>
      <c:catAx>
        <c:axId val="362282047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79967"/>
        <c:crosses val="autoZero"/>
        <c:auto val="1"/>
        <c:lblAlgn val="ctr"/>
        <c:lblOffset val="100"/>
        <c:noMultiLvlLbl val="0"/>
      </c:catAx>
      <c:valAx>
        <c:axId val="3622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K-Electric LtdSC6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Sheet1!$B$144:$B$148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0.1024</c:v>
                </c:pt>
                <c:pt idx="2">
                  <c:v>0.1124</c:v>
                </c:pt>
                <c:pt idx="3">
                  <c:v>0.12239999999999999</c:v>
                </c:pt>
                <c:pt idx="4">
                  <c:v>0.13239999999999999</c:v>
                </c:pt>
              </c:numCache>
            </c:numRef>
          </c:cat>
          <c:val>
            <c:numRef>
              <c:f>Sheet1!$E$144:$E$148</c:f>
              <c:numCache>
                <c:formatCode>0.00%</c:formatCode>
                <c:ptCount val="5"/>
                <c:pt idx="0">
                  <c:v>6.2886005022077321E-2</c:v>
                </c:pt>
                <c:pt idx="1">
                  <c:v>3.0870894788470091E-2</c:v>
                </c:pt>
                <c:pt idx="2">
                  <c:v>0</c:v>
                </c:pt>
                <c:pt idx="3">
                  <c:v>-2.9771350700357944E-2</c:v>
                </c:pt>
                <c:pt idx="4">
                  <c:v>-5.8485963101438748E-2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A-4BBB-9599-AA378255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42239"/>
        <c:axId val="390639327"/>
      </c:lineChart>
      <c:catAx>
        <c:axId val="39064223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39327"/>
        <c:crosses val="autoZero"/>
        <c:auto val="1"/>
        <c:lblAlgn val="ctr"/>
        <c:lblOffset val="100"/>
        <c:noMultiLvlLbl val="0"/>
      </c:catAx>
      <c:valAx>
        <c:axId val="3906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21</xdr:row>
      <xdr:rowOff>80010</xdr:rowOff>
    </xdr:from>
    <xdr:to>
      <xdr:col>17</xdr:col>
      <xdr:colOff>518160</xdr:colOff>
      <xdr:row>38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F8FDD-A549-4593-A2ED-7853E2032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281940</xdr:colOff>
      <xdr:row>38</xdr:row>
      <xdr:rowOff>156210</xdr:rowOff>
    </xdr:from>
    <xdr:to>
      <xdr:col>17</xdr:col>
      <xdr:colOff>586740</xdr:colOff>
      <xdr:row>54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D26BB5-5AD1-4255-A4BC-AEFDB5345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320040</xdr:colOff>
      <xdr:row>38</xdr:row>
      <xdr:rowOff>171450</xdr:rowOff>
    </xdr:from>
    <xdr:to>
      <xdr:col>26</xdr:col>
      <xdr:colOff>15240</xdr:colOff>
      <xdr:row>54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4FCF4B-5A77-472D-8C43-AA3E52D80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577159</xdr:colOff>
      <xdr:row>21</xdr:row>
      <xdr:rowOff>39232</xdr:rowOff>
    </xdr:from>
    <xdr:to>
      <xdr:col>26</xdr:col>
      <xdr:colOff>260287</xdr:colOff>
      <xdr:row>38</xdr:row>
      <xdr:rowOff>66393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EF8A79-DE89-4DE7-812A-C87EFB56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423334</xdr:colOff>
      <xdr:row>57</xdr:row>
      <xdr:rowOff>110067</xdr:rowOff>
    </xdr:from>
    <xdr:to>
      <xdr:col>17</xdr:col>
      <xdr:colOff>103482</xdr:colOff>
      <xdr:row>72</xdr:row>
      <xdr:rowOff>134526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BE041D-D1C5-400E-85C6-843A380DC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413926</xdr:colOff>
      <xdr:row>74</xdr:row>
      <xdr:rowOff>25400</xdr:rowOff>
    </xdr:from>
    <xdr:to>
      <xdr:col>17</xdr:col>
      <xdr:colOff>94074</xdr:colOff>
      <xdr:row>89</xdr:row>
      <xdr:rowOff>68674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DFA6CF-871E-4ECF-A4B9-AB76DFA55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178741</xdr:colOff>
      <xdr:row>57</xdr:row>
      <xdr:rowOff>53622</xdr:rowOff>
    </xdr:from>
    <xdr:to>
      <xdr:col>25</xdr:col>
      <xdr:colOff>470371</xdr:colOff>
      <xdr:row>72</xdr:row>
      <xdr:rowOff>78081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1557A0-F66B-4514-A990-661E686A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291629</xdr:colOff>
      <xdr:row>74</xdr:row>
      <xdr:rowOff>119475</xdr:rowOff>
    </xdr:from>
    <xdr:to>
      <xdr:col>25</xdr:col>
      <xdr:colOff>583259</xdr:colOff>
      <xdr:row>89</xdr:row>
      <xdr:rowOff>162749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4627B3-792C-48BA-B27B-2EEBFA872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94076</xdr:colOff>
      <xdr:row>92</xdr:row>
      <xdr:rowOff>34807</xdr:rowOff>
    </xdr:from>
    <xdr:to>
      <xdr:col>14</xdr:col>
      <xdr:colOff>84668</xdr:colOff>
      <xdr:row>107</xdr:row>
      <xdr:rowOff>78081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A2B1F5-31AA-4575-943D-C31CFDF36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602074</xdr:colOff>
      <xdr:row>91</xdr:row>
      <xdr:rowOff>147697</xdr:rowOff>
    </xdr:from>
    <xdr:to>
      <xdr:col>22</xdr:col>
      <xdr:colOff>282222</xdr:colOff>
      <xdr:row>107</xdr:row>
      <xdr:rowOff>12230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8FA0A4-F28F-4D89-8F61-5F7C5C0C8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489185</xdr:colOff>
      <xdr:row>108</xdr:row>
      <xdr:rowOff>157104</xdr:rowOff>
    </xdr:from>
    <xdr:to>
      <xdr:col>13</xdr:col>
      <xdr:colOff>432741</xdr:colOff>
      <xdr:row>124</xdr:row>
      <xdr:rowOff>40452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AFD63E-53E6-494B-9CAF-55BE2FC48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246380</xdr:colOff>
      <xdr:row>108</xdr:row>
      <xdr:rowOff>136972</xdr:rowOff>
    </xdr:from>
    <xdr:to>
      <xdr:col>22</xdr:col>
      <xdr:colOff>538009</xdr:colOff>
      <xdr:row>124</xdr:row>
      <xdr:rowOff>16181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A82129-86D2-47FC-AA65-CB35EC986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327660</xdr:colOff>
      <xdr:row>125</xdr:row>
      <xdr:rowOff>118110</xdr:rowOff>
    </xdr:from>
    <xdr:to>
      <xdr:col>12</xdr:col>
      <xdr:colOff>236220</xdr:colOff>
      <xdr:row>140</xdr:row>
      <xdr:rowOff>118110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AD13C4-29D8-47F8-9220-B61DFD9C3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579120</xdr:colOff>
      <xdr:row>125</xdr:row>
      <xdr:rowOff>72390</xdr:rowOff>
    </xdr:from>
    <xdr:to>
      <xdr:col>20</xdr:col>
      <xdr:colOff>274320</xdr:colOff>
      <xdr:row>140</xdr:row>
      <xdr:rowOff>72390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E3DB10D-65D4-46F8-A4CB-1CA980996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571500</xdr:colOff>
      <xdr:row>140</xdr:row>
      <xdr:rowOff>179070</xdr:rowOff>
    </xdr:from>
    <xdr:to>
      <xdr:col>12</xdr:col>
      <xdr:colOff>480060</xdr:colOff>
      <xdr:row>155</xdr:row>
      <xdr:rowOff>179070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7D813A-0140-4E1E-AA25-048E3A154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236220</xdr:colOff>
      <xdr:row>141</xdr:row>
      <xdr:rowOff>26670</xdr:rowOff>
    </xdr:from>
    <xdr:to>
      <xdr:col>20</xdr:col>
      <xdr:colOff>541020</xdr:colOff>
      <xdr:row>156</xdr:row>
      <xdr:rowOff>26670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284FD79-77DB-4416-B43F-32F50C32A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18B1-6419-4BC5-97DB-E4B007C226BB}">
  <dimension ref="A1:J148"/>
  <sheetViews>
    <sheetView tabSelected="1" topLeftCell="A15" zoomScale="93" zoomScaleNormal="100" workbookViewId="0">
      <selection activeCell="H31" sqref="H31"/>
    </sheetView>
  </sheetViews>
  <sheetFormatPr defaultRowHeight="14.4" x14ac:dyDescent="0.3"/>
  <cols>
    <col min="3" max="3" width="10.21875" bestFit="1" customWidth="1"/>
    <col min="4" max="4" width="11.6640625" bestFit="1" customWidth="1"/>
    <col min="5" max="5" width="13.6640625" customWidth="1"/>
    <col min="6" max="7" width="9.5546875" bestFit="1" customWidth="1"/>
    <col min="8" max="8" width="12.21875" bestFit="1" customWidth="1"/>
    <col min="9" max="9" width="10" bestFit="1" customWidth="1"/>
  </cols>
  <sheetData>
    <row r="1" spans="1:9" x14ac:dyDescent="0.3">
      <c r="C1" s="8" t="s">
        <v>12</v>
      </c>
      <c r="D1" s="8" t="s">
        <v>13</v>
      </c>
      <c r="E1" s="8" t="s">
        <v>29</v>
      </c>
    </row>
    <row r="2" spans="1:9" ht="15.6" x14ac:dyDescent="0.3">
      <c r="A2" s="8" t="s">
        <v>4</v>
      </c>
      <c r="B2" s="8"/>
      <c r="C2" s="3">
        <v>46517</v>
      </c>
      <c r="D2" s="3">
        <v>52316</v>
      </c>
      <c r="E2" s="3">
        <v>47445</v>
      </c>
    </row>
    <row r="3" spans="1:9" x14ac:dyDescent="0.3">
      <c r="A3" s="8" t="s">
        <v>5</v>
      </c>
      <c r="B3" s="8"/>
      <c r="C3" s="1">
        <v>46087</v>
      </c>
      <c r="D3" s="1">
        <v>46087</v>
      </c>
      <c r="E3" s="1">
        <v>46087</v>
      </c>
    </row>
    <row r="4" spans="1:9" x14ac:dyDescent="0.3">
      <c r="C4" s="11">
        <f>(C2-C3)/365</f>
        <v>1.178082191780822</v>
      </c>
      <c r="D4" s="11">
        <f>(D2-D3)/365</f>
        <v>17.065753424657533</v>
      </c>
      <c r="E4" s="11">
        <f>(E2-E3)/365</f>
        <v>3.7205479452054795</v>
      </c>
    </row>
    <row r="7" spans="1:9" ht="15" thickBot="1" x14ac:dyDescent="0.35">
      <c r="B7" s="8" t="s">
        <v>24</v>
      </c>
      <c r="C7" s="8"/>
      <c r="D7" s="8"/>
    </row>
    <row r="8" spans="1:9" x14ac:dyDescent="0.3">
      <c r="A8" s="23"/>
      <c r="B8" s="24"/>
      <c r="C8" s="24"/>
      <c r="D8" s="24"/>
      <c r="E8" s="25" t="s">
        <v>12</v>
      </c>
      <c r="F8" s="19"/>
      <c r="G8" s="13" t="s">
        <v>13</v>
      </c>
      <c r="H8" s="13"/>
      <c r="I8" s="13" t="s">
        <v>14</v>
      </c>
    </row>
    <row r="9" spans="1:9" x14ac:dyDescent="0.3">
      <c r="A9" s="51" t="s">
        <v>0</v>
      </c>
      <c r="B9" s="52"/>
      <c r="C9" s="52"/>
      <c r="D9" s="12"/>
      <c r="E9" s="26">
        <v>5000</v>
      </c>
      <c r="F9" s="20"/>
      <c r="G9" s="12">
        <v>5000</v>
      </c>
      <c r="H9" s="12"/>
      <c r="I9" s="12">
        <v>75000</v>
      </c>
    </row>
    <row r="10" spans="1:9" x14ac:dyDescent="0.3">
      <c r="A10" s="51" t="s">
        <v>1</v>
      </c>
      <c r="B10" s="52"/>
      <c r="C10" s="52"/>
      <c r="D10" s="12"/>
      <c r="E10" s="27">
        <v>0.1585</v>
      </c>
      <c r="F10" s="20"/>
      <c r="G10" s="14">
        <v>0.11070000000000001</v>
      </c>
      <c r="H10" s="12"/>
      <c r="I10" s="14">
        <v>0.1056</v>
      </c>
    </row>
    <row r="11" spans="1:9" x14ac:dyDescent="0.3">
      <c r="A11" s="51" t="s">
        <v>11</v>
      </c>
      <c r="B11" s="52"/>
      <c r="C11" s="52"/>
      <c r="D11" s="15"/>
      <c r="E11" s="28">
        <f>E9*E10</f>
        <v>792.5</v>
      </c>
      <c r="F11" s="21"/>
      <c r="G11" s="16">
        <f t="shared" ref="G11" si="0">G9*G10</f>
        <v>553.5</v>
      </c>
      <c r="H11" s="16"/>
      <c r="I11" s="16">
        <f t="shared" ref="I11" si="1">I9*I10</f>
        <v>7920</v>
      </c>
    </row>
    <row r="12" spans="1:9" x14ac:dyDescent="0.3">
      <c r="A12" s="51" t="s">
        <v>2</v>
      </c>
      <c r="B12" s="52"/>
      <c r="C12" s="52"/>
      <c r="D12" s="12"/>
      <c r="E12" s="26">
        <v>1.18</v>
      </c>
      <c r="F12" s="20"/>
      <c r="G12" s="12">
        <v>17.07</v>
      </c>
      <c r="H12" s="12"/>
      <c r="I12" s="12">
        <v>3.72</v>
      </c>
    </row>
    <row r="13" spans="1:9" x14ac:dyDescent="0.3">
      <c r="A13" s="51" t="s">
        <v>3</v>
      </c>
      <c r="B13" s="52"/>
      <c r="C13" s="52"/>
      <c r="D13" s="12"/>
      <c r="E13" s="26" t="s">
        <v>6</v>
      </c>
      <c r="F13" s="20"/>
      <c r="G13" s="12" t="s">
        <v>6</v>
      </c>
      <c r="H13" s="12"/>
      <c r="I13" s="12" t="s">
        <v>15</v>
      </c>
    </row>
    <row r="14" spans="1:9" x14ac:dyDescent="0.3">
      <c r="A14" s="51" t="s">
        <v>7</v>
      </c>
      <c r="B14" s="52"/>
      <c r="C14" s="52"/>
      <c r="D14" s="12"/>
      <c r="E14" s="26"/>
      <c r="F14" s="20"/>
      <c r="G14" s="12"/>
      <c r="H14" s="12"/>
      <c r="I14" s="12"/>
    </row>
    <row r="15" spans="1:9" x14ac:dyDescent="0.3">
      <c r="A15" s="29"/>
      <c r="B15" s="53" t="s">
        <v>8</v>
      </c>
      <c r="C15" s="54"/>
      <c r="D15" s="14">
        <v>0.1074</v>
      </c>
      <c r="E15" s="26"/>
      <c r="F15" s="20"/>
      <c r="G15" s="14">
        <v>0.1074</v>
      </c>
      <c r="H15" s="12"/>
      <c r="I15" s="14">
        <v>0.1074</v>
      </c>
    </row>
    <row r="16" spans="1:9" x14ac:dyDescent="0.3">
      <c r="A16" s="29"/>
      <c r="B16" s="53" t="s">
        <v>9</v>
      </c>
      <c r="C16" s="54"/>
      <c r="D16" s="14">
        <v>0.1174</v>
      </c>
      <c r="E16" s="26"/>
      <c r="F16" s="20"/>
      <c r="G16" s="14">
        <v>0.1174</v>
      </c>
      <c r="H16" s="12"/>
      <c r="I16" s="14">
        <v>0.1174</v>
      </c>
    </row>
    <row r="17" spans="1:9" x14ac:dyDescent="0.3">
      <c r="A17" s="29"/>
      <c r="B17" s="13"/>
      <c r="C17" s="13"/>
      <c r="D17" s="12"/>
      <c r="E17" s="30">
        <f>(D15+D16)/2</f>
        <v>0.1124</v>
      </c>
      <c r="F17" s="20"/>
      <c r="G17" s="14">
        <f>(G15+G16)/2</f>
        <v>0.1124</v>
      </c>
      <c r="H17" s="14"/>
      <c r="I17" s="14">
        <f t="shared" ref="I17" si="2">(I15+I16)/2</f>
        <v>0.1124</v>
      </c>
    </row>
    <row r="18" spans="1:9" ht="15" thickBot="1" x14ac:dyDescent="0.35">
      <c r="A18" s="31"/>
      <c r="B18" s="32" t="s">
        <v>10</v>
      </c>
      <c r="C18" s="32"/>
      <c r="D18" s="33"/>
      <c r="E18" s="34">
        <f>-PV(E17/2,E12*2,E11/2,E9)</f>
        <v>5248.259887626511</v>
      </c>
      <c r="F18" s="22"/>
      <c r="G18" s="17">
        <f>-PV(G17/2,G12*2,G11/2,G9)</f>
        <v>4936.0711034336464</v>
      </c>
      <c r="H18" s="17"/>
      <c r="I18" s="17">
        <f>-PV(I17/4,I12*4,I11/4,I9)</f>
        <v>73466.756523812772</v>
      </c>
    </row>
    <row r="20" spans="1:9" x14ac:dyDescent="0.3">
      <c r="A20" s="50"/>
      <c r="B20" s="50"/>
      <c r="C20" s="50"/>
    </row>
    <row r="21" spans="1:9" x14ac:dyDescent="0.3">
      <c r="A21" s="50"/>
      <c r="B21" s="50"/>
      <c r="C21" s="50"/>
      <c r="E21" s="4"/>
      <c r="G21" s="4"/>
      <c r="I21" s="4"/>
    </row>
    <row r="22" spans="1:9" x14ac:dyDescent="0.3">
      <c r="A22" s="50"/>
      <c r="B22" s="50"/>
      <c r="C22" s="50"/>
      <c r="D22" s="50"/>
      <c r="E22" s="2"/>
      <c r="F22" s="2"/>
      <c r="G22" s="2"/>
      <c r="H22" s="2"/>
      <c r="I22" s="2"/>
    </row>
    <row r="23" spans="1:9" x14ac:dyDescent="0.3">
      <c r="A23" s="50"/>
      <c r="B23" s="50"/>
      <c r="C23" s="50"/>
      <c r="E23" s="4"/>
      <c r="G23" s="4"/>
      <c r="I23" s="4"/>
    </row>
    <row r="24" spans="1:9" x14ac:dyDescent="0.3">
      <c r="A24" s="50"/>
      <c r="B24" s="50"/>
      <c r="C24" s="50"/>
    </row>
    <row r="25" spans="1:9" x14ac:dyDescent="0.3">
      <c r="A25" s="50"/>
      <c r="B25" s="50"/>
      <c r="C25" s="50"/>
    </row>
    <row r="28" spans="1:9" ht="16.2" thickBot="1" x14ac:dyDescent="0.35">
      <c r="B28" s="9" t="s">
        <v>22</v>
      </c>
    </row>
    <row r="29" spans="1:9" x14ac:dyDescent="0.3">
      <c r="A29" s="7"/>
      <c r="B29" s="55" t="s">
        <v>20</v>
      </c>
      <c r="C29" s="56"/>
      <c r="D29" s="56"/>
      <c r="E29" s="24" t="s">
        <v>6</v>
      </c>
      <c r="F29" s="24"/>
      <c r="G29" s="24"/>
      <c r="H29" s="39"/>
      <c r="I29" s="5"/>
    </row>
    <row r="30" spans="1:9" ht="15" thickBot="1" x14ac:dyDescent="0.35">
      <c r="A30" s="7"/>
      <c r="B30" s="57" t="s">
        <v>2</v>
      </c>
      <c r="C30" s="58"/>
      <c r="D30" s="40" t="s">
        <v>0</v>
      </c>
      <c r="E30" s="40" t="s">
        <v>11</v>
      </c>
      <c r="F30" s="40" t="s">
        <v>16</v>
      </c>
      <c r="G30" s="32"/>
      <c r="H30" s="41" t="s">
        <v>28</v>
      </c>
      <c r="I30" s="5"/>
    </row>
    <row r="31" spans="1:9" x14ac:dyDescent="0.3">
      <c r="A31" s="7"/>
      <c r="B31" s="42">
        <v>5</v>
      </c>
      <c r="C31" s="36"/>
      <c r="D31" s="37">
        <v>5000</v>
      </c>
      <c r="E31" s="36">
        <v>792.5</v>
      </c>
      <c r="F31" s="38">
        <v>0.1124</v>
      </c>
      <c r="G31" s="36"/>
      <c r="H31" s="43">
        <f>-PV(F31/2,B31*2,E31/2,D31)</f>
        <v>5863.7328764067288</v>
      </c>
      <c r="I31" s="5"/>
    </row>
    <row r="32" spans="1:9" x14ac:dyDescent="0.3">
      <c r="A32" s="7"/>
      <c r="B32" s="44">
        <v>4</v>
      </c>
      <c r="C32" s="12"/>
      <c r="D32" s="15">
        <v>5000</v>
      </c>
      <c r="E32" s="12">
        <v>792.5</v>
      </c>
      <c r="F32" s="14">
        <v>0.1124</v>
      </c>
      <c r="G32" s="12"/>
      <c r="H32" s="45">
        <f t="shared" ref="H32:H36" si="3">-PV(F32/2,B32*2,E32/2,D32)</f>
        <v>5726.5674501810026</v>
      </c>
      <c r="I32" s="5"/>
    </row>
    <row r="33" spans="1:10" x14ac:dyDescent="0.3">
      <c r="A33" s="7"/>
      <c r="B33" s="44">
        <v>3</v>
      </c>
      <c r="C33" s="12"/>
      <c r="D33" s="15">
        <v>5000</v>
      </c>
      <c r="E33" s="12">
        <v>792.5</v>
      </c>
      <c r="F33" s="14">
        <v>0.1124</v>
      </c>
      <c r="G33" s="12"/>
      <c r="H33" s="45">
        <f t="shared" si="3"/>
        <v>5573.551401278698</v>
      </c>
      <c r="I33" s="5"/>
    </row>
    <row r="34" spans="1:10" x14ac:dyDescent="0.3">
      <c r="B34" s="44">
        <v>2</v>
      </c>
      <c r="C34" s="12"/>
      <c r="D34" s="15">
        <v>5000</v>
      </c>
      <c r="E34" s="12">
        <v>792.5</v>
      </c>
      <c r="F34" s="14">
        <v>0.1124</v>
      </c>
      <c r="G34" s="12"/>
      <c r="H34" s="45">
        <f t="shared" si="3"/>
        <v>5402.8530564702778</v>
      </c>
      <c r="I34" s="5"/>
      <c r="J34" s="5"/>
    </row>
    <row r="35" spans="1:10" x14ac:dyDescent="0.3">
      <c r="B35" s="44">
        <v>1</v>
      </c>
      <c r="C35" s="12"/>
      <c r="D35" s="15">
        <v>5000</v>
      </c>
      <c r="E35" s="12">
        <v>792.5</v>
      </c>
      <c r="F35" s="14">
        <v>0.1124</v>
      </c>
      <c r="G35" s="12"/>
      <c r="H35" s="45">
        <f t="shared" si="3"/>
        <v>5212.4290772252143</v>
      </c>
    </row>
    <row r="36" spans="1:10" ht="15" thickBot="1" x14ac:dyDescent="0.35">
      <c r="B36" s="46">
        <v>0</v>
      </c>
      <c r="C36" s="33"/>
      <c r="D36" s="47">
        <v>5000</v>
      </c>
      <c r="E36" s="33">
        <v>792.5</v>
      </c>
      <c r="F36" s="48">
        <v>0.1124</v>
      </c>
      <c r="G36" s="33"/>
      <c r="H36" s="49">
        <f t="shared" si="3"/>
        <v>5000</v>
      </c>
    </row>
    <row r="37" spans="1:10" x14ac:dyDescent="0.3">
      <c r="D37" s="7"/>
      <c r="F37" s="4"/>
      <c r="H37" s="5"/>
    </row>
    <row r="38" spans="1:10" ht="15.6" x14ac:dyDescent="0.3">
      <c r="B38" s="10" t="s">
        <v>23</v>
      </c>
    </row>
    <row r="39" spans="1:10" x14ac:dyDescent="0.3">
      <c r="B39" s="50" t="s">
        <v>20</v>
      </c>
      <c r="C39" s="50"/>
      <c r="D39" s="50"/>
      <c r="E39" t="s">
        <v>6</v>
      </c>
    </row>
    <row r="40" spans="1:10" x14ac:dyDescent="0.3">
      <c r="B40" s="50" t="s">
        <v>2</v>
      </c>
      <c r="C40" s="50"/>
      <c r="D40" s="7" t="s">
        <v>0</v>
      </c>
      <c r="E40" s="7" t="s">
        <v>11</v>
      </c>
      <c r="F40" s="7" t="s">
        <v>16</v>
      </c>
      <c r="H40" t="s">
        <v>17</v>
      </c>
    </row>
    <row r="41" spans="1:10" x14ac:dyDescent="0.3">
      <c r="B41">
        <v>5</v>
      </c>
      <c r="D41" s="7">
        <v>5000</v>
      </c>
      <c r="E41">
        <v>553.5</v>
      </c>
      <c r="F41" s="4">
        <v>0.1124</v>
      </c>
      <c r="H41" s="5">
        <f>-PV(F41/2,B41*2,E41/2,D41)</f>
        <v>4968.1486791780608</v>
      </c>
    </row>
    <row r="42" spans="1:10" x14ac:dyDescent="0.3">
      <c r="B42">
        <v>4</v>
      </c>
      <c r="D42" s="7">
        <v>5000</v>
      </c>
      <c r="E42">
        <v>553.5</v>
      </c>
      <c r="F42" s="4">
        <v>0.1124</v>
      </c>
      <c r="H42" s="5">
        <f t="shared" ref="H42:H46" si="4">-PV(F42/2,B42*2,E42/2,D42)</f>
        <v>4973.2068402319364</v>
      </c>
    </row>
    <row r="43" spans="1:10" x14ac:dyDescent="0.3">
      <c r="B43">
        <v>3</v>
      </c>
      <c r="D43" s="7">
        <v>5000</v>
      </c>
      <c r="E43">
        <v>553.5</v>
      </c>
      <c r="F43" s="4">
        <v>0.1124</v>
      </c>
      <c r="H43" s="5">
        <f t="shared" si="4"/>
        <v>4978.8495144864683</v>
      </c>
    </row>
    <row r="44" spans="1:10" x14ac:dyDescent="0.3">
      <c r="B44">
        <v>2</v>
      </c>
      <c r="D44" s="7">
        <v>5000</v>
      </c>
      <c r="E44">
        <v>553.5</v>
      </c>
      <c r="F44" s="4">
        <v>0.1124</v>
      </c>
      <c r="H44" s="5">
        <f t="shared" si="4"/>
        <v>4985.1442473752822</v>
      </c>
    </row>
    <row r="45" spans="1:10" x14ac:dyDescent="0.3">
      <c r="B45">
        <v>1</v>
      </c>
      <c r="D45" s="7">
        <v>5000</v>
      </c>
      <c r="E45">
        <v>553.5</v>
      </c>
      <c r="F45" s="4">
        <v>0.1124</v>
      </c>
      <c r="H45" s="5">
        <f t="shared" si="4"/>
        <v>4992.166389776944</v>
      </c>
    </row>
    <row r="46" spans="1:10" x14ac:dyDescent="0.3">
      <c r="B46">
        <v>0</v>
      </c>
      <c r="D46" s="7">
        <v>5000</v>
      </c>
      <c r="E46">
        <v>553.5</v>
      </c>
      <c r="F46" s="4">
        <v>0.1124</v>
      </c>
      <c r="H46" s="5">
        <f t="shared" si="4"/>
        <v>5000</v>
      </c>
    </row>
    <row r="47" spans="1:10" x14ac:dyDescent="0.3">
      <c r="D47" s="7"/>
      <c r="F47" s="4"/>
      <c r="H47" s="5"/>
    </row>
    <row r="48" spans="1:10" ht="15.6" x14ac:dyDescent="0.3">
      <c r="B48" s="9" t="s">
        <v>21</v>
      </c>
    </row>
    <row r="49" spans="2:8" x14ac:dyDescent="0.3">
      <c r="B49" s="50" t="s">
        <v>20</v>
      </c>
      <c r="C49" s="50"/>
      <c r="D49" s="50"/>
      <c r="E49" t="s">
        <v>18</v>
      </c>
    </row>
    <row r="50" spans="2:8" x14ac:dyDescent="0.3">
      <c r="B50" s="50" t="s">
        <v>2</v>
      </c>
      <c r="C50" s="50"/>
      <c r="D50" s="7" t="s">
        <v>0</v>
      </c>
      <c r="E50" s="7" t="s">
        <v>11</v>
      </c>
      <c r="F50" s="7" t="s">
        <v>16</v>
      </c>
      <c r="H50" t="s">
        <v>17</v>
      </c>
    </row>
    <row r="51" spans="2:8" x14ac:dyDescent="0.3">
      <c r="B51">
        <v>5</v>
      </c>
      <c r="D51" s="7">
        <v>75000</v>
      </c>
      <c r="E51">
        <v>7920</v>
      </c>
      <c r="F51" s="4">
        <v>0.1124</v>
      </c>
      <c r="H51" s="6">
        <f>-PV(F51/4,B51*4,E51/4,D51)</f>
        <v>73069.367243863104</v>
      </c>
    </row>
    <row r="52" spans="2:8" x14ac:dyDescent="0.3">
      <c r="B52">
        <v>4</v>
      </c>
      <c r="D52" s="7">
        <v>75000</v>
      </c>
      <c r="E52">
        <v>7920</v>
      </c>
      <c r="F52" s="4">
        <v>0.1124</v>
      </c>
      <c r="H52" s="6">
        <f t="shared" ref="H52:H56" si="5">-PV(F52/4,B52*4,E52/4,D52)</f>
        <v>73374.946919011563</v>
      </c>
    </row>
    <row r="53" spans="2:8" x14ac:dyDescent="0.3">
      <c r="B53">
        <v>3</v>
      </c>
      <c r="D53" s="7">
        <v>75000</v>
      </c>
      <c r="E53">
        <v>7920</v>
      </c>
      <c r="F53" s="4">
        <v>0.1124</v>
      </c>
      <c r="H53" s="6">
        <f t="shared" si="5"/>
        <v>73716.348793631943</v>
      </c>
    </row>
    <row r="54" spans="2:8" x14ac:dyDescent="0.3">
      <c r="B54">
        <v>2</v>
      </c>
      <c r="D54" s="7">
        <v>75000</v>
      </c>
      <c r="E54">
        <v>7920</v>
      </c>
      <c r="F54" s="4">
        <v>0.1124</v>
      </c>
      <c r="H54" s="6">
        <f t="shared" si="5"/>
        <v>74097.772197978731</v>
      </c>
    </row>
    <row r="55" spans="2:8" x14ac:dyDescent="0.3">
      <c r="B55">
        <v>1</v>
      </c>
      <c r="D55" s="7">
        <v>75000</v>
      </c>
      <c r="E55">
        <v>7920</v>
      </c>
      <c r="F55" s="4">
        <v>0.1124</v>
      </c>
      <c r="H55" s="6">
        <f t="shared" si="5"/>
        <v>74523.908737343852</v>
      </c>
    </row>
    <row r="56" spans="2:8" x14ac:dyDescent="0.3">
      <c r="B56">
        <v>0</v>
      </c>
      <c r="D56" s="7">
        <v>75000</v>
      </c>
      <c r="E56">
        <v>7920</v>
      </c>
      <c r="F56" s="4">
        <v>0.1124</v>
      </c>
      <c r="H56" s="6">
        <f t="shared" si="5"/>
        <v>75000</v>
      </c>
    </row>
    <row r="59" spans="2:8" x14ac:dyDescent="0.3">
      <c r="B59" s="8" t="s">
        <v>19</v>
      </c>
    </row>
    <row r="60" spans="2:8" ht="15.6" x14ac:dyDescent="0.3">
      <c r="B60" s="9" t="s">
        <v>22</v>
      </c>
    </row>
    <row r="61" spans="2:8" x14ac:dyDescent="0.3">
      <c r="B61" s="52" t="s">
        <v>20</v>
      </c>
      <c r="C61" s="52"/>
      <c r="D61" s="52"/>
      <c r="E61" s="12" t="s">
        <v>6</v>
      </c>
      <c r="F61" s="13" t="s">
        <v>26</v>
      </c>
      <c r="G61" s="14">
        <v>0.1585</v>
      </c>
      <c r="H61" s="12"/>
    </row>
    <row r="62" spans="2:8" x14ac:dyDescent="0.3">
      <c r="B62" s="52" t="s">
        <v>2</v>
      </c>
      <c r="C62" s="52"/>
      <c r="D62" s="35" t="s">
        <v>0</v>
      </c>
      <c r="E62" s="35" t="s">
        <v>11</v>
      </c>
      <c r="F62" s="35" t="s">
        <v>16</v>
      </c>
      <c r="G62" s="13"/>
      <c r="H62" s="35" t="s">
        <v>17</v>
      </c>
    </row>
    <row r="63" spans="2:8" x14ac:dyDescent="0.3">
      <c r="B63" s="12">
        <v>1.18</v>
      </c>
      <c r="C63" s="12"/>
      <c r="D63" s="15">
        <v>5000</v>
      </c>
      <c r="E63" s="12">
        <v>792.5</v>
      </c>
      <c r="F63" s="14">
        <v>9.2399999999999996E-2</v>
      </c>
      <c r="G63" s="12"/>
      <c r="H63" s="18">
        <f t="shared" ref="H63:H67" si="6">-PV(F63/2,B63*2,E63/2,D63)</f>
        <v>5361.6341234592437</v>
      </c>
    </row>
    <row r="64" spans="2:8" x14ac:dyDescent="0.3">
      <c r="B64" s="12">
        <v>1.18</v>
      </c>
      <c r="C64" s="12"/>
      <c r="D64" s="15">
        <v>5000</v>
      </c>
      <c r="E64" s="12">
        <v>792.5</v>
      </c>
      <c r="F64" s="14">
        <v>0.1024</v>
      </c>
      <c r="G64" s="12"/>
      <c r="H64" s="18">
        <f t="shared" si="6"/>
        <v>5304.5016276126153</v>
      </c>
    </row>
    <row r="65" spans="1:8" x14ac:dyDescent="0.3">
      <c r="A65" s="8" t="s">
        <v>25</v>
      </c>
      <c r="B65" s="12">
        <v>1.18</v>
      </c>
      <c r="C65" s="12"/>
      <c r="D65" s="15">
        <v>5000</v>
      </c>
      <c r="E65" s="12">
        <v>792.5</v>
      </c>
      <c r="F65" s="14">
        <v>0.1124</v>
      </c>
      <c r="G65" s="12"/>
      <c r="H65" s="18">
        <f t="shared" si="6"/>
        <v>5248.259887626511</v>
      </c>
    </row>
    <row r="66" spans="1:8" x14ac:dyDescent="0.3">
      <c r="B66" s="12">
        <v>1.18</v>
      </c>
      <c r="C66" s="12"/>
      <c r="D66" s="15">
        <v>5000</v>
      </c>
      <c r="E66" s="12">
        <v>792.5</v>
      </c>
      <c r="F66" s="14">
        <v>0.12239999999999999</v>
      </c>
      <c r="G66" s="12"/>
      <c r="H66" s="18">
        <f t="shared" si="6"/>
        <v>5192.8908176779023</v>
      </c>
    </row>
    <row r="67" spans="1:8" x14ac:dyDescent="0.3">
      <c r="B67" s="12">
        <v>1.18</v>
      </c>
      <c r="C67" s="12"/>
      <c r="D67" s="15">
        <v>5000</v>
      </c>
      <c r="E67" s="12">
        <v>792.5</v>
      </c>
      <c r="F67" s="14">
        <v>0.13239999999999999</v>
      </c>
      <c r="G67" s="12"/>
      <c r="H67" s="18">
        <f t="shared" si="6"/>
        <v>5138.3767827823158</v>
      </c>
    </row>
    <row r="68" spans="1:8" x14ac:dyDescent="0.3">
      <c r="D68" s="7"/>
      <c r="F68" s="4"/>
      <c r="H68" s="5"/>
    </row>
    <row r="69" spans="1:8" ht="15.6" x14ac:dyDescent="0.3">
      <c r="B69" s="10" t="s">
        <v>23</v>
      </c>
    </row>
    <row r="70" spans="1:8" x14ac:dyDescent="0.3">
      <c r="B70" s="50" t="s">
        <v>20</v>
      </c>
      <c r="C70" s="50"/>
      <c r="D70" s="50"/>
      <c r="E70" t="s">
        <v>6</v>
      </c>
      <c r="F70" t="s">
        <v>26</v>
      </c>
      <c r="G70" s="4">
        <v>0.11070000000000001</v>
      </c>
    </row>
    <row r="71" spans="1:8" x14ac:dyDescent="0.3">
      <c r="B71" s="50" t="s">
        <v>2</v>
      </c>
      <c r="C71" s="50"/>
      <c r="D71" s="7" t="s">
        <v>0</v>
      </c>
      <c r="E71" s="7" t="s">
        <v>11</v>
      </c>
      <c r="F71" s="7" t="s">
        <v>16</v>
      </c>
      <c r="H71" t="s">
        <v>17</v>
      </c>
    </row>
    <row r="72" spans="1:8" x14ac:dyDescent="0.3">
      <c r="B72">
        <v>17.07</v>
      </c>
      <c r="D72" s="7">
        <v>5000</v>
      </c>
      <c r="E72">
        <v>553.5</v>
      </c>
      <c r="F72" s="4">
        <v>9.2399999999999996E-2</v>
      </c>
      <c r="H72" s="5">
        <f t="shared" ref="H72:H76" si="7">-PV(F72/2,B72*2,E72/2,D72)</f>
        <v>5778.3735125452095</v>
      </c>
    </row>
    <row r="73" spans="1:8" x14ac:dyDescent="0.3">
      <c r="B73">
        <v>17.07</v>
      </c>
      <c r="D73" s="7">
        <v>5000</v>
      </c>
      <c r="E73">
        <v>553.5</v>
      </c>
      <c r="F73" s="4">
        <v>0.1024</v>
      </c>
      <c r="H73" s="5">
        <f t="shared" si="7"/>
        <v>5331.5831560205643</v>
      </c>
    </row>
    <row r="74" spans="1:8" x14ac:dyDescent="0.3">
      <c r="A74" s="8" t="s">
        <v>25</v>
      </c>
      <c r="B74">
        <v>17.07</v>
      </c>
      <c r="D74" s="7">
        <v>5000</v>
      </c>
      <c r="E74">
        <v>553.5</v>
      </c>
      <c r="F74" s="4">
        <v>0.1124</v>
      </c>
      <c r="H74" s="5">
        <f t="shared" si="7"/>
        <v>4936.0711034336464</v>
      </c>
    </row>
    <row r="75" spans="1:8" x14ac:dyDescent="0.3">
      <c r="B75">
        <v>17.07</v>
      </c>
      <c r="D75" s="7">
        <v>5000</v>
      </c>
      <c r="E75">
        <v>553.5</v>
      </c>
      <c r="F75" s="4">
        <v>0.12239999999999999</v>
      </c>
      <c r="H75" s="5">
        <f>-PV(F75/2,B75*2,E75/2,D75)</f>
        <v>4584.9596902852263</v>
      </c>
    </row>
    <row r="76" spans="1:8" x14ac:dyDescent="0.3">
      <c r="B76">
        <v>17.07</v>
      </c>
      <c r="D76" s="7">
        <v>5000</v>
      </c>
      <c r="E76">
        <v>553.5</v>
      </c>
      <c r="F76" s="4">
        <v>0.13239999999999999</v>
      </c>
      <c r="H76" s="5">
        <f t="shared" si="7"/>
        <v>4272.3741955819305</v>
      </c>
    </row>
    <row r="77" spans="1:8" x14ac:dyDescent="0.3">
      <c r="D77" s="7"/>
      <c r="F77" s="4"/>
      <c r="H77" s="5"/>
    </row>
    <row r="78" spans="1:8" ht="15.6" x14ac:dyDescent="0.3">
      <c r="B78" s="9" t="s">
        <v>21</v>
      </c>
    </row>
    <row r="79" spans="1:8" x14ac:dyDescent="0.3">
      <c r="B79" s="50" t="s">
        <v>20</v>
      </c>
      <c r="C79" s="50"/>
      <c r="D79" s="50"/>
      <c r="E79" t="s">
        <v>18</v>
      </c>
      <c r="F79" t="s">
        <v>26</v>
      </c>
      <c r="G79" s="4">
        <v>0.1056</v>
      </c>
    </row>
    <row r="80" spans="1:8" x14ac:dyDescent="0.3">
      <c r="B80" s="50" t="s">
        <v>2</v>
      </c>
      <c r="C80" s="50"/>
      <c r="D80" s="7" t="s">
        <v>0</v>
      </c>
      <c r="E80" s="7" t="s">
        <v>11</v>
      </c>
      <c r="F80" s="7" t="s">
        <v>16</v>
      </c>
      <c r="H80" t="s">
        <v>17</v>
      </c>
    </row>
    <row r="81" spans="1:8" x14ac:dyDescent="0.3">
      <c r="B81">
        <v>3.72</v>
      </c>
      <c r="D81" s="7">
        <v>75000</v>
      </c>
      <c r="E81">
        <v>7920</v>
      </c>
      <c r="F81" s="4">
        <v>9.2399999999999996E-2</v>
      </c>
      <c r="H81" s="6">
        <f t="shared" ref="H81:H85" si="8">-PV(F81/4,B81*4,E81/4,D81)</f>
        <v>78086.787343525008</v>
      </c>
    </row>
    <row r="82" spans="1:8" x14ac:dyDescent="0.3">
      <c r="B82">
        <v>3.72</v>
      </c>
      <c r="D82" s="7">
        <v>75000</v>
      </c>
      <c r="E82">
        <v>7920</v>
      </c>
      <c r="F82" s="4">
        <v>0.1024</v>
      </c>
      <c r="H82" s="6">
        <f t="shared" si="8"/>
        <v>75734.741034909544</v>
      </c>
    </row>
    <row r="83" spans="1:8" x14ac:dyDescent="0.3">
      <c r="A83" s="8" t="s">
        <v>25</v>
      </c>
      <c r="B83">
        <v>3.72</v>
      </c>
      <c r="D83" s="7">
        <v>75000</v>
      </c>
      <c r="E83">
        <v>7920</v>
      </c>
      <c r="F83" s="4">
        <v>0.1124</v>
      </c>
      <c r="H83" s="6">
        <f t="shared" si="8"/>
        <v>73466.756523812772</v>
      </c>
    </row>
    <row r="84" spans="1:8" x14ac:dyDescent="0.3">
      <c r="B84">
        <v>3.72</v>
      </c>
      <c r="D84" s="7">
        <v>75000</v>
      </c>
      <c r="E84">
        <v>7920</v>
      </c>
      <c r="F84" s="4">
        <v>0.12239999999999999</v>
      </c>
      <c r="H84" s="6">
        <f t="shared" si="8"/>
        <v>71279.551950524532</v>
      </c>
    </row>
    <row r="85" spans="1:8" x14ac:dyDescent="0.3">
      <c r="B85">
        <v>3.72</v>
      </c>
      <c r="D85" s="7">
        <v>75000</v>
      </c>
      <c r="E85">
        <v>7920</v>
      </c>
      <c r="F85" s="4">
        <v>0.13239999999999999</v>
      </c>
      <c r="H85" s="6">
        <f t="shared" si="8"/>
        <v>69169.982512578674</v>
      </c>
    </row>
    <row r="94" spans="1:8" x14ac:dyDescent="0.3">
      <c r="B94" s="8" t="s">
        <v>27</v>
      </c>
    </row>
    <row r="96" spans="1:8" ht="15.6" x14ac:dyDescent="0.3">
      <c r="B96" s="9" t="s">
        <v>22</v>
      </c>
    </row>
    <row r="97" spans="2:4" x14ac:dyDescent="0.3">
      <c r="B97" s="7"/>
      <c r="C97" s="7" t="s">
        <v>16</v>
      </c>
      <c r="D97" s="7" t="s">
        <v>17</v>
      </c>
    </row>
    <row r="98" spans="2:4" x14ac:dyDescent="0.3">
      <c r="B98" s="4"/>
      <c r="C98" s="4">
        <v>9.2399999999999996E-2</v>
      </c>
      <c r="D98" s="5">
        <v>5361.6341234592437</v>
      </c>
    </row>
    <row r="99" spans="2:4" x14ac:dyDescent="0.3">
      <c r="B99" s="4"/>
      <c r="C99" s="4">
        <v>0.1024</v>
      </c>
      <c r="D99" s="5">
        <v>5304.5016276126153</v>
      </c>
    </row>
    <row r="100" spans="2:4" x14ac:dyDescent="0.3">
      <c r="B100" s="4"/>
      <c r="C100" s="4">
        <v>0.1124</v>
      </c>
      <c r="D100" s="5">
        <v>5248.259887626511</v>
      </c>
    </row>
    <row r="101" spans="2:4" x14ac:dyDescent="0.3">
      <c r="B101" s="4"/>
      <c r="C101" s="4">
        <v>0.12239999999999999</v>
      </c>
      <c r="D101" s="5">
        <v>5192.8908176779023</v>
      </c>
    </row>
    <row r="102" spans="2:4" x14ac:dyDescent="0.3">
      <c r="B102" s="4"/>
      <c r="C102" s="4">
        <v>0.13239999999999999</v>
      </c>
      <c r="D102" s="5">
        <v>5138.3767827823158</v>
      </c>
    </row>
    <row r="104" spans="2:4" x14ac:dyDescent="0.3">
      <c r="B104" s="8" t="s">
        <v>23</v>
      </c>
    </row>
    <row r="105" spans="2:4" x14ac:dyDescent="0.3">
      <c r="C105" s="7" t="s">
        <v>16</v>
      </c>
      <c r="D105" t="s">
        <v>17</v>
      </c>
    </row>
    <row r="106" spans="2:4" x14ac:dyDescent="0.3">
      <c r="C106" s="4">
        <v>9.2399999999999996E-2</v>
      </c>
      <c r="D106" s="5">
        <v>5778.3735125452095</v>
      </c>
    </row>
    <row r="107" spans="2:4" x14ac:dyDescent="0.3">
      <c r="C107" s="4">
        <v>0.1024</v>
      </c>
      <c r="D107" s="5">
        <v>5331.5831560205643</v>
      </c>
    </row>
    <row r="108" spans="2:4" x14ac:dyDescent="0.3">
      <c r="C108" s="4">
        <v>0.1124</v>
      </c>
      <c r="D108" s="5">
        <v>4936.0711034336464</v>
      </c>
    </row>
    <row r="109" spans="2:4" x14ac:dyDescent="0.3">
      <c r="C109" s="4">
        <v>0.12239999999999999</v>
      </c>
      <c r="D109" s="5">
        <v>4584.9596902852263</v>
      </c>
    </row>
    <row r="110" spans="2:4" x14ac:dyDescent="0.3">
      <c r="C110" s="4">
        <v>0.13239999999999999</v>
      </c>
      <c r="D110" s="5">
        <v>4272.3741955819305</v>
      </c>
    </row>
    <row r="112" spans="2:4" x14ac:dyDescent="0.3">
      <c r="B112" s="8" t="s">
        <v>21</v>
      </c>
    </row>
    <row r="113" spans="2:5" x14ac:dyDescent="0.3">
      <c r="C113" s="7" t="s">
        <v>16</v>
      </c>
      <c r="D113" t="s">
        <v>17</v>
      </c>
    </row>
    <row r="114" spans="2:5" x14ac:dyDescent="0.3">
      <c r="C114" s="4">
        <v>9.2399999999999996E-2</v>
      </c>
      <c r="D114" s="6">
        <v>78086.787343525008</v>
      </c>
    </row>
    <row r="115" spans="2:5" x14ac:dyDescent="0.3">
      <c r="C115" s="4">
        <v>0.1024</v>
      </c>
      <c r="D115" s="6">
        <v>75734.741034909544</v>
      </c>
    </row>
    <row r="116" spans="2:5" x14ac:dyDescent="0.3">
      <c r="C116" s="4">
        <v>0.1124</v>
      </c>
      <c r="D116" s="6">
        <v>73466.756523812772</v>
      </c>
    </row>
    <row r="117" spans="2:5" x14ac:dyDescent="0.3">
      <c r="C117" s="4">
        <v>0.12239999999999999</v>
      </c>
      <c r="D117" s="6">
        <v>71279.551950524532</v>
      </c>
    </row>
    <row r="118" spans="2:5" x14ac:dyDescent="0.3">
      <c r="C118" s="4">
        <v>0.13239999999999999</v>
      </c>
      <c r="D118" s="6">
        <v>69169.982512578674</v>
      </c>
    </row>
    <row r="126" spans="2:5" ht="15" thickBot="1" x14ac:dyDescent="0.35">
      <c r="B126" s="8" t="s">
        <v>22</v>
      </c>
    </row>
    <row r="127" spans="2:5" x14ac:dyDescent="0.3">
      <c r="B127" s="72" t="s">
        <v>30</v>
      </c>
      <c r="C127" s="73" t="s">
        <v>28</v>
      </c>
      <c r="D127" s="73" t="s">
        <v>31</v>
      </c>
      <c r="E127" s="25" t="s">
        <v>32</v>
      </c>
    </row>
    <row r="128" spans="2:5" x14ac:dyDescent="0.3">
      <c r="B128" s="74">
        <v>9.2399999999999996E-2</v>
      </c>
      <c r="C128" s="18">
        <v>5361.6341234592437</v>
      </c>
      <c r="D128" s="18">
        <v>5248.259887626511</v>
      </c>
      <c r="E128" s="30">
        <f>(C128-D128)/D128</f>
        <v>2.1602252605673722E-2</v>
      </c>
    </row>
    <row r="129" spans="2:5" x14ac:dyDescent="0.3">
      <c r="B129" s="74">
        <v>0.1024</v>
      </c>
      <c r="C129" s="18">
        <v>5304.5016276126153</v>
      </c>
      <c r="D129" s="18">
        <v>5248.259887626511</v>
      </c>
      <c r="E129" s="30">
        <f t="shared" ref="E129:E132" si="9">(C129-D129)/D129</f>
        <v>1.0716264283844213E-2</v>
      </c>
    </row>
    <row r="130" spans="2:5" x14ac:dyDescent="0.3">
      <c r="B130" s="74">
        <v>0.1124</v>
      </c>
      <c r="C130" s="18">
        <v>5248.259887626511</v>
      </c>
      <c r="D130" s="18">
        <v>5248.259887626511</v>
      </c>
      <c r="E130" s="30">
        <f t="shared" si="9"/>
        <v>0</v>
      </c>
    </row>
    <row r="131" spans="2:5" x14ac:dyDescent="0.3">
      <c r="B131" s="74">
        <v>0.12239999999999999</v>
      </c>
      <c r="C131" s="18">
        <v>5192.8908176779023</v>
      </c>
      <c r="D131" s="18">
        <v>5248.259887626511</v>
      </c>
      <c r="E131" s="30">
        <f t="shared" si="9"/>
        <v>-1.054998630672785E-2</v>
      </c>
    </row>
    <row r="132" spans="2:5" ht="15" thickBot="1" x14ac:dyDescent="0.35">
      <c r="B132" s="75">
        <v>0.13239999999999999</v>
      </c>
      <c r="C132" s="76">
        <v>5138.3767827823158</v>
      </c>
      <c r="D132" s="76">
        <v>5248.259887626511</v>
      </c>
      <c r="E132" s="77">
        <f t="shared" si="9"/>
        <v>-2.0937054794725327E-2</v>
      </c>
    </row>
    <row r="133" spans="2:5" x14ac:dyDescent="0.3">
      <c r="E133" s="4"/>
    </row>
    <row r="134" spans="2:5" ht="15" thickBot="1" x14ac:dyDescent="0.35">
      <c r="B134" s="8" t="s">
        <v>23</v>
      </c>
    </row>
    <row r="135" spans="2:5" x14ac:dyDescent="0.3">
      <c r="B135" s="69" t="s">
        <v>16</v>
      </c>
      <c r="C135" s="70" t="s">
        <v>28</v>
      </c>
      <c r="D135" s="70" t="s">
        <v>31</v>
      </c>
      <c r="E135" s="71" t="s">
        <v>32</v>
      </c>
    </row>
    <row r="136" spans="2:5" x14ac:dyDescent="0.3">
      <c r="B136" s="59">
        <v>9.2399999999999996E-2</v>
      </c>
      <c r="C136" s="60">
        <v>5778.3735125452095</v>
      </c>
      <c r="D136" s="60">
        <v>4936.0711034336464</v>
      </c>
      <c r="E136" s="61">
        <f>(C136-D136)/D136</f>
        <v>0.17064227630870996</v>
      </c>
    </row>
    <row r="137" spans="2:5" x14ac:dyDescent="0.3">
      <c r="B137" s="59">
        <v>0.1024</v>
      </c>
      <c r="C137" s="60">
        <v>5331.5831560205643</v>
      </c>
      <c r="D137" s="60">
        <v>4936.0711034336464</v>
      </c>
      <c r="E137" s="61">
        <f t="shared" ref="E137:E140" si="10">(C137-D137)/D137</f>
        <v>8.0126895317976773E-2</v>
      </c>
    </row>
    <row r="138" spans="2:5" x14ac:dyDescent="0.3">
      <c r="B138" s="59">
        <v>0.1124</v>
      </c>
      <c r="C138" s="60">
        <v>4936.0711034336464</v>
      </c>
      <c r="D138" s="60">
        <v>4936.0711034336464</v>
      </c>
      <c r="E138" s="61">
        <f t="shared" si="10"/>
        <v>0</v>
      </c>
    </row>
    <row r="139" spans="2:5" x14ac:dyDescent="0.3">
      <c r="B139" s="59">
        <v>0.12239999999999999</v>
      </c>
      <c r="C139" s="60">
        <v>4584.9596902852263</v>
      </c>
      <c r="D139" s="60">
        <v>4936.0711034336464</v>
      </c>
      <c r="E139" s="61">
        <f t="shared" si="10"/>
        <v>-7.1131757584322233E-2</v>
      </c>
    </row>
    <row r="140" spans="2:5" ht="15" thickBot="1" x14ac:dyDescent="0.35">
      <c r="B140" s="62">
        <v>0.13239999999999999</v>
      </c>
      <c r="C140" s="63">
        <v>4272.3741955819305</v>
      </c>
      <c r="D140" s="63">
        <v>4936.0711034336464</v>
      </c>
      <c r="E140" s="64">
        <f t="shared" si="10"/>
        <v>-0.134458538773891</v>
      </c>
    </row>
    <row r="142" spans="2:5" ht="15" thickBot="1" x14ac:dyDescent="0.35">
      <c r="B142" s="8" t="s">
        <v>21</v>
      </c>
    </row>
    <row r="143" spans="2:5" x14ac:dyDescent="0.3">
      <c r="B143" s="69" t="s">
        <v>16</v>
      </c>
      <c r="C143" s="70" t="s">
        <v>28</v>
      </c>
      <c r="D143" s="70" t="s">
        <v>31</v>
      </c>
      <c r="E143" s="71" t="s">
        <v>32</v>
      </c>
    </row>
    <row r="144" spans="2:5" x14ac:dyDescent="0.3">
      <c r="B144" s="59">
        <v>9.2399999999999996E-2</v>
      </c>
      <c r="C144" s="65">
        <v>78086.787343524993</v>
      </c>
      <c r="D144" s="66">
        <v>73466.756523812772</v>
      </c>
      <c r="E144" s="61">
        <f>(C144-D144)/D144</f>
        <v>6.2886005022077321E-2</v>
      </c>
    </row>
    <row r="145" spans="2:5" x14ac:dyDescent="0.3">
      <c r="B145" s="59">
        <v>0.1024</v>
      </c>
      <c r="C145" s="65">
        <v>75734.741034909544</v>
      </c>
      <c r="D145" s="66">
        <v>73466.756523812772</v>
      </c>
      <c r="E145" s="61">
        <f t="shared" ref="E145:E148" si="11">(C145-D145)/D145</f>
        <v>3.0870894788470091E-2</v>
      </c>
    </row>
    <row r="146" spans="2:5" x14ac:dyDescent="0.3">
      <c r="B146" s="59">
        <v>0.1124</v>
      </c>
      <c r="C146" s="65">
        <v>73466.756523812772</v>
      </c>
      <c r="D146" s="66">
        <v>73466.756523812772</v>
      </c>
      <c r="E146" s="61">
        <f t="shared" si="11"/>
        <v>0</v>
      </c>
    </row>
    <row r="147" spans="2:5" x14ac:dyDescent="0.3">
      <c r="B147" s="59">
        <v>0.12239999999999999</v>
      </c>
      <c r="C147" s="65">
        <v>71279.551950524532</v>
      </c>
      <c r="D147" s="66">
        <v>73466.756523812772</v>
      </c>
      <c r="E147" s="61">
        <f t="shared" si="11"/>
        <v>-2.9771350700357944E-2</v>
      </c>
    </row>
    <row r="148" spans="2:5" ht="15" thickBot="1" x14ac:dyDescent="0.35">
      <c r="B148" s="62">
        <v>0.13239999999999999</v>
      </c>
      <c r="C148" s="67">
        <v>69169.982512578674</v>
      </c>
      <c r="D148" s="68">
        <v>73466.756523812772</v>
      </c>
      <c r="E148" s="64">
        <f t="shared" si="11"/>
        <v>-5.8485963101438748E-2</v>
      </c>
    </row>
  </sheetData>
  <mergeCells count="26">
    <mergeCell ref="A21:C21"/>
    <mergeCell ref="A22:D22"/>
    <mergeCell ref="A23:C23"/>
    <mergeCell ref="A24:C24"/>
    <mergeCell ref="A25:C25"/>
    <mergeCell ref="A9:C9"/>
    <mergeCell ref="A10:C10"/>
    <mergeCell ref="A12:C12"/>
    <mergeCell ref="A13:C13"/>
    <mergeCell ref="A20:C20"/>
    <mergeCell ref="B80:C80"/>
    <mergeCell ref="A11:C11"/>
    <mergeCell ref="B15:C15"/>
    <mergeCell ref="B16:C16"/>
    <mergeCell ref="B61:D61"/>
    <mergeCell ref="B62:C62"/>
    <mergeCell ref="B70:D70"/>
    <mergeCell ref="B71:C71"/>
    <mergeCell ref="B79:D79"/>
    <mergeCell ref="B40:C40"/>
    <mergeCell ref="B39:D39"/>
    <mergeCell ref="B29:D29"/>
    <mergeCell ref="B50:C50"/>
    <mergeCell ref="B49:D49"/>
    <mergeCell ref="A14:C14"/>
    <mergeCell ref="B30:C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Huang</dc:creator>
  <cp:lastModifiedBy>Jeremiah Huang</cp:lastModifiedBy>
  <dcterms:created xsi:type="dcterms:W3CDTF">2026-03-06T13:38:27Z</dcterms:created>
  <dcterms:modified xsi:type="dcterms:W3CDTF">2026-03-08T13:08:33Z</dcterms:modified>
</cp:coreProperties>
</file>